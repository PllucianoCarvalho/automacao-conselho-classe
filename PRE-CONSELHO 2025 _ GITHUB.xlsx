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AL" sheetId="1" r:id="rId5"/>
    <sheet state="visible" name="3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MARQUE UMA OU MAIS GRANDE ÁREA DE HABILIDADE, OU NENHUMA.</t>
      </text>
    </comment>
    <comment authorId="0" ref="C12">
      <text>
        <t xml:space="preserve">Nível de proficiência:
1 - ABAIXO DO BÁSICO
2 - BÁSICO
3 - ADEQUADO
4 - AVANÇADO</t>
      </text>
    </comment>
    <comment authorId="0" ref="D12">
      <text>
        <t xml:space="preserve">1 - NÃO É COMPROMETIDO
2 - POUCO COMPROMETIDO
3 - COMPROMETIDO
4 - MUITO COMPROMETIDO</t>
      </text>
    </comment>
    <comment authorId="0" ref="E12">
      <text>
        <t xml:space="preserve">1 - NÃO É PROATIVO/CURIOSO
2 - POUCO PROATIVO/CURIOSO
3 - PROATIVO/CURIOSO
4 - MUITO PROATIVO/CURIOSO</t>
      </text>
    </comment>
    <comment authorId="0" ref="F12">
      <text>
        <t xml:space="preserve">1 - NÃO É PARTICIPATIVO
2 - POUCO PARTICIPATIVO
3 - PARTICIPATIVO
4 - MUITO PARTICIPATIVO</t>
      </text>
    </comment>
    <comment authorId="0" ref="G12">
      <text>
        <t xml:space="preserve">1 - NÃO É EDUCADO
2 - POUCO EDUCADO
3 - EDUCADO
4 - MUITO EDUCADO</t>
      </text>
    </comment>
    <comment authorId="0" ref="H12">
      <text>
        <t xml:space="preserve">1 - 4 OU 5 FALTAS POR SEMANA
2 - 2 OU 3 FALTAS POR SEMANA
3 - ATÉ 1 FALTA POR SEMANA
4 - NÃO FALTA</t>
      </text>
    </comment>
    <comment authorId="0" ref="K12">
      <text>
        <t xml:space="preserve">QUALQUER LAUDO DOCUMENTADO
TEA, TDAH, TDA, DI, TOD ETC.
</t>
      </text>
    </comment>
  </commentList>
</comments>
</file>

<file path=xl/sharedStrings.xml><?xml version="1.0" encoding="utf-8"?>
<sst xmlns="http://schemas.openxmlformats.org/spreadsheetml/2006/main" count="60" uniqueCount="45">
  <si>
    <t>ALUNO</t>
  </si>
  <si>
    <t>NIVEL DE PROEFICIENCIA DO ALUNO</t>
  </si>
  <si>
    <t>COMPROMETIDO COM APRENDIZAGEM?</t>
  </si>
  <si>
    <t>PROATIVO E/OU CURIOSO?</t>
  </si>
  <si>
    <t>PARTICIPATIVO?</t>
  </si>
  <si>
    <t>EDUCADO(A)?</t>
  </si>
  <si>
    <t>FALTOSO?</t>
  </si>
  <si>
    <t>POSSUI LAUDO?</t>
  </si>
  <si>
    <t>EM QUAL ÁREA APRESENTA HABILIDADE?</t>
  </si>
  <si>
    <t>NIVEL DO ALUNO SEGUNDO AS RESPOSTAS</t>
  </si>
  <si>
    <t>Aluno A</t>
  </si>
  <si>
    <t>LEGENDA DOS NÚMEROS</t>
  </si>
  <si>
    <t>SIM</t>
  </si>
  <si>
    <t>LEGENDA PARA COLUNA PRESENTE</t>
  </si>
  <si>
    <t>MATEMATICA</t>
  </si>
  <si>
    <t>Aluno B</t>
  </si>
  <si>
    <t>ERRADO</t>
  </si>
  <si>
    <t>NÃO</t>
  </si>
  <si>
    <t>NULO/ NÃO SE APLICA</t>
  </si>
  <si>
    <t>LINGUAGENS</t>
  </si>
  <si>
    <t>Aluno C</t>
  </si>
  <si>
    <t>CIEN. NAT</t>
  </si>
  <si>
    <t>ABAIXO DO BÁSICO</t>
  </si>
  <si>
    <t>NUNCA PRESENTE</t>
  </si>
  <si>
    <t>Aluno D</t>
  </si>
  <si>
    <t>Após todos professores preencherem suas planilhas, elas serão unificadas em uma única planilha que irá calcular a média das respostas e automáticamente gerará a descrição aluno por aluno.</t>
  </si>
  <si>
    <t>CIEN. HUMAN</t>
  </si>
  <si>
    <t>Aluno E</t>
  </si>
  <si>
    <t>BÁSICO</t>
  </si>
  <si>
    <t>POUCO PRESENTE</t>
  </si>
  <si>
    <t>N/A</t>
  </si>
  <si>
    <t>ADEQUADO</t>
  </si>
  <si>
    <t>PRESENTE</t>
  </si>
  <si>
    <t>AVANCADO</t>
  </si>
  <si>
    <t>SEMPRE PRESENTE</t>
  </si>
  <si>
    <t>ÁREA DE TESTES</t>
  </si>
  <si>
    <t>PARE O MOUSE SOBRE AS CÉLULAS AZUIS PARA VER O NORTEADOR</t>
  </si>
  <si>
    <t>Nº</t>
  </si>
  <si>
    <t>PRESENTE?</t>
  </si>
  <si>
    <t>LAUDO FINAL SEGUNDO SUAS ESCOLHAS!</t>
  </si>
  <si>
    <t>FULANO</t>
  </si>
  <si>
    <t>VERMELHO INDICA QUE NÃO FOI MARCADO.</t>
  </si>
  <si>
    <t>Essa cor é uma referência a classificação do aluno em relação as suas escolhas</t>
  </si>
  <si>
    <t>AVANÇADO</t>
  </si>
  <si>
    <t>BASICO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</si>
</sst>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/>
    <font>
      <b/>
      <sz val="16.0"/>
      <color theme="1"/>
      <name val="Arial"/>
      <scheme val="minor"/>
    </font>
    <font>
      <sz val="11.0"/>
      <color theme="1"/>
      <name val="Comfortaa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4A853"/>
        <bgColor rgb="FF34A853"/>
      </patternFill>
    </fill>
    <fill>
      <patternFill patternType="solid">
        <fgColor rgb="FFFF9900"/>
        <bgColor rgb="FFFF9900"/>
      </patternFill>
    </fill>
    <fill>
      <patternFill patternType="solid">
        <fgColor rgb="FFFF6D01"/>
        <bgColor rgb="FFFF6D01"/>
      </patternFill>
    </fill>
  </fills>
  <borders count="1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/>
    </xf>
    <xf borderId="0" fillId="0" fontId="2" numFmtId="0" xfId="0" applyAlignment="1" applyFont="1">
      <alignment horizontal="left"/>
    </xf>
    <xf borderId="3" fillId="5" fontId="2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 shrinkToFit="0" vertical="center" wrapText="1"/>
    </xf>
    <xf borderId="4" fillId="5" fontId="2" numFmtId="0" xfId="0" applyAlignment="1" applyBorder="1" applyFill="1" applyFont="1">
      <alignment horizontal="center"/>
    </xf>
    <xf borderId="2" fillId="4" fontId="5" numFmtId="0" xfId="0" applyAlignment="1" applyBorder="1" applyFill="1" applyFont="1">
      <alignment horizontal="center" readingOrder="0"/>
    </xf>
    <xf borderId="5" fillId="4" fontId="5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5" fontId="2" numFmtId="0" xfId="0" applyAlignment="1" applyBorder="1" applyFill="1" applyFont="1">
      <alignment horizontal="center"/>
    </xf>
    <xf borderId="8" fillId="2" fontId="1" numFmtId="0" xfId="0" applyAlignment="1" applyBorder="1" applyFill="1" applyFont="1">
      <alignment horizontal="center" readingOrder="0" shrinkToFit="0" vertical="center" wrapText="1"/>
    </xf>
    <xf borderId="7" fillId="0" fontId="6" numFmtId="0" xfId="0" applyBorder="1" applyFont="1"/>
    <xf borderId="0" fillId="0" fontId="2" numFmtId="164" xfId="0" applyFont="1" applyNumberFormat="1"/>
    <xf borderId="9" fillId="0" fontId="6" numFmtId="0" xfId="0" applyBorder="1" applyFont="1"/>
    <xf borderId="10" fillId="6" fontId="7" numFmtId="0" xfId="0" applyAlignment="1" applyBorder="1" applyFill="1" applyFont="1">
      <alignment horizontal="center" readingOrder="0" vertical="center"/>
    </xf>
    <xf borderId="11" fillId="0" fontId="6" numFmtId="0" xfId="0" applyBorder="1" applyFont="1"/>
    <xf borderId="4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5" fillId="7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9" fillId="5" fontId="2" numFmtId="0" xfId="0" applyAlignment="1" applyBorder="1" applyFill="1" applyFont="1">
      <alignment horizontal="center"/>
    </xf>
    <xf borderId="8" fillId="2" fontId="1" numFmtId="0" xfId="0" applyAlignment="1" applyBorder="1" applyFill="1" applyFont="1">
      <alignment horizontal="center" readingOrder="0" vertical="center"/>
    </xf>
    <xf borderId="10" fillId="2" fontId="1" numFmtId="0" xfId="0" applyAlignment="1" applyBorder="1" applyFill="1" applyFont="1">
      <alignment horizontal="center" readingOrder="0" shrinkToFit="0" vertical="center" wrapText="1"/>
    </xf>
    <xf borderId="15" fillId="0" fontId="6" numFmtId="0" xfId="0" applyBorder="1" applyFont="1"/>
    <xf borderId="16" fillId="0" fontId="6" numFmtId="0" xfId="0" applyBorder="1" applyFont="1"/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8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8" fillId="5" fontId="1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/>
    </xf>
    <xf borderId="2" fillId="8" fontId="2" numFmtId="0" xfId="0" applyAlignment="1" applyBorder="1" applyFill="1" applyFont="1">
      <alignment horizontal="center"/>
    </xf>
    <xf borderId="2" fillId="9" fontId="2" numFmtId="0" xfId="0" applyAlignment="1" applyBorder="1" applyFill="1" applyFont="1">
      <alignment horizontal="center"/>
    </xf>
    <xf borderId="2" fillId="10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>
        <color rgb="FFFF6D01"/>
      </font>
      <fill>
        <patternFill patternType="solid">
          <fgColor rgb="FFFF6D01"/>
          <bgColor rgb="FFFF6D01"/>
        </patternFill>
      </fill>
      <border/>
    </dxf>
    <dxf>
      <font>
        <color rgb="FFFF9900"/>
      </font>
      <fill>
        <patternFill patternType="solid">
          <fgColor rgb="FFFF9900"/>
          <bgColor rgb="FFFF9900"/>
        </patternFill>
      </fill>
      <border/>
    </dxf>
    <dxf>
      <font>
        <color rgb="FF34A853"/>
      </font>
      <fill>
        <patternFill patternType="solid">
          <fgColor rgb="FF34A853"/>
          <bgColor rgb="FF34A853"/>
        </patternFill>
      </fill>
      <border/>
    </dxf>
    <dxf>
      <font>
        <b/>
        <i/>
        <color rgb="FF000000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304800</xdr:colOff>
      <xdr:row>15</xdr:row>
      <xdr:rowOff>28575</xdr:rowOff>
    </xdr:from>
    <xdr:ext cx="981075" cy="1285875"/>
    <xdr:sp>
      <xdr:nvSpPr>
        <xdr:cNvPr id="3" name="Shape 3"/>
        <xdr:cNvSpPr/>
      </xdr:nvSpPr>
      <xdr:spPr>
        <a:xfrm rot="10800000">
          <a:off x="4232950" y="1674925"/>
          <a:ext cx="964500" cy="1269000"/>
        </a:xfrm>
        <a:prstGeom prst="bentArrow">
          <a:avLst>
            <a:gd fmla="val 25000" name="adj1"/>
            <a:gd fmla="val 25000" name="adj2"/>
            <a:gd fmla="val 25000" name="adj3"/>
            <a:gd fmla="val 43750" name="adj4"/>
          </a:avLst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12.88"/>
    <col customWidth="1" min="3" max="3" width="16.38"/>
    <col customWidth="1" min="4" max="4" width="13.63"/>
    <col customWidth="1" min="5" max="5" width="10.75"/>
    <col customWidth="1" min="6" max="6" width="14.0"/>
    <col customWidth="1" min="7" max="7" width="11.75"/>
    <col customWidth="1" min="8" max="8" width="4.0"/>
    <col customWidth="1" min="9" max="9" width="3.38"/>
    <col customWidth="1" min="10" max="10" width="2.88"/>
    <col customWidth="1" min="11" max="11" width="9.88"/>
    <col customWidth="1" min="12" max="12" width="12.63"/>
    <col customWidth="1" min="13" max="13" width="3.38"/>
    <col customWidth="1" min="14" max="14" width="52.0"/>
  </cols>
  <sheetData>
    <row r="1">
      <c r="A1" s="6"/>
      <c r="B1" s="1" t="s">
        <v>11</v>
      </c>
      <c r="D1" s="6"/>
      <c r="E1" s="1" t="s">
        <v>13</v>
      </c>
      <c r="H1" s="8"/>
      <c r="I1" s="8"/>
      <c r="J1" s="8"/>
      <c r="K1" s="6"/>
      <c r="L1" s="6"/>
      <c r="M1" s="6"/>
      <c r="N1" s="9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6"/>
      <c r="D2" s="6"/>
      <c r="H2" s="10"/>
      <c r="I2" s="12"/>
      <c r="J2" s="8"/>
      <c r="K2" s="6"/>
      <c r="L2" s="6"/>
      <c r="M2" s="6"/>
      <c r="N2" s="9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13">
        <v>0.0</v>
      </c>
      <c r="C3" s="13" t="s">
        <v>16</v>
      </c>
      <c r="D3" s="6"/>
      <c r="E3" s="13">
        <v>0.0</v>
      </c>
      <c r="F3" s="14" t="s">
        <v>18</v>
      </c>
      <c r="G3" s="15"/>
      <c r="H3" s="8"/>
      <c r="I3" s="16"/>
      <c r="J3" s="8"/>
      <c r="K3" s="6"/>
      <c r="L3" s="6"/>
      <c r="M3" s="6"/>
      <c r="N3" s="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6"/>
      <c r="B4" s="13">
        <v>1.0</v>
      </c>
      <c r="C4" s="13" t="s">
        <v>22</v>
      </c>
      <c r="D4" s="6"/>
      <c r="E4" s="13">
        <v>1.0</v>
      </c>
      <c r="F4" s="14" t="s">
        <v>23</v>
      </c>
      <c r="G4" s="15"/>
      <c r="H4" s="8"/>
      <c r="I4" s="16"/>
      <c r="J4" s="8"/>
      <c r="K4" s="6"/>
      <c r="L4" s="6"/>
      <c r="M4" s="6"/>
      <c r="N4" s="17" t="s">
        <v>25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6"/>
      <c r="B5" s="13">
        <v>2.0</v>
      </c>
      <c r="C5" s="13" t="s">
        <v>28</v>
      </c>
      <c r="D5" s="6"/>
      <c r="E5" s="13">
        <v>2.0</v>
      </c>
      <c r="F5" s="14" t="s">
        <v>29</v>
      </c>
      <c r="G5" s="15"/>
      <c r="H5" s="8"/>
      <c r="I5" s="16"/>
      <c r="J5" s="8"/>
      <c r="K5" s="6"/>
      <c r="L5" s="6"/>
      <c r="M5" s="6"/>
      <c r="N5" s="1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6"/>
      <c r="B6" s="13">
        <v>3.0</v>
      </c>
      <c r="C6" s="13" t="s">
        <v>31</v>
      </c>
      <c r="D6" s="6"/>
      <c r="E6" s="13">
        <v>3.0</v>
      </c>
      <c r="F6" s="14" t="s">
        <v>32</v>
      </c>
      <c r="G6" s="15"/>
      <c r="H6" s="8"/>
      <c r="I6" s="16"/>
      <c r="J6" s="8"/>
      <c r="K6" s="6"/>
      <c r="L6" s="6"/>
      <c r="M6" s="6"/>
      <c r="N6" s="1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6"/>
      <c r="B7" s="13">
        <v>4.0</v>
      </c>
      <c r="C7" s="13" t="s">
        <v>33</v>
      </c>
      <c r="D7" s="6"/>
      <c r="E7" s="13">
        <v>4.0</v>
      </c>
      <c r="F7" s="14" t="s">
        <v>34</v>
      </c>
      <c r="G7" s="15"/>
      <c r="H7" s="8"/>
      <c r="I7" s="16"/>
      <c r="J7" s="8"/>
      <c r="K7" s="6"/>
      <c r="L7" s="6"/>
      <c r="M7" s="6"/>
      <c r="N7" s="1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6"/>
      <c r="B8" s="6"/>
      <c r="C8" s="6"/>
      <c r="D8" s="6"/>
      <c r="E8" s="6"/>
      <c r="F8" s="6"/>
      <c r="G8" s="6"/>
      <c r="H8" s="8"/>
      <c r="I8" s="16"/>
      <c r="J8" s="8"/>
      <c r="K8" s="6"/>
      <c r="L8" s="6"/>
      <c r="M8" s="6"/>
      <c r="N8" s="2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6"/>
      <c r="C9" s="21" t="s">
        <v>35</v>
      </c>
      <c r="D9" s="22"/>
      <c r="E9" s="22"/>
      <c r="F9" s="23"/>
      <c r="G9" s="6"/>
      <c r="H9" s="8"/>
      <c r="I9" s="16"/>
      <c r="J9" s="8"/>
      <c r="K9" s="6"/>
      <c r="L9" s="6"/>
      <c r="M9" s="6"/>
      <c r="N9" s="9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6"/>
      <c r="B10" s="6"/>
      <c r="C10" s="24"/>
      <c r="D10" s="25"/>
      <c r="E10" s="25"/>
      <c r="F10" s="26"/>
      <c r="G10" s="6"/>
      <c r="H10" s="8"/>
      <c r="I10" s="16"/>
      <c r="J10" s="8"/>
      <c r="K10" s="6"/>
      <c r="L10" s="6"/>
      <c r="M10" s="6"/>
      <c r="N10" s="9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6"/>
      <c r="B11" s="27" t="s">
        <v>36</v>
      </c>
      <c r="C11" s="28"/>
      <c r="D11" s="28"/>
      <c r="E11" s="28"/>
      <c r="F11" s="28"/>
      <c r="G11" s="28"/>
      <c r="H11" s="15"/>
      <c r="I11" s="29"/>
      <c r="J11" s="8"/>
      <c r="K11" s="6"/>
      <c r="L11" s="6"/>
      <c r="M11" s="6"/>
      <c r="N11" s="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30" t="s">
        <v>37</v>
      </c>
      <c r="B12" s="30" t="s">
        <v>0</v>
      </c>
      <c r="C12" s="17" t="s">
        <v>1</v>
      </c>
      <c r="D12" s="17" t="s">
        <v>2</v>
      </c>
      <c r="E12" s="17" t="s">
        <v>3</v>
      </c>
      <c r="F12" s="17" t="s">
        <v>4</v>
      </c>
      <c r="G12" s="17" t="s">
        <v>5</v>
      </c>
      <c r="H12" s="31" t="s">
        <v>38</v>
      </c>
      <c r="I12" s="22"/>
      <c r="J12" s="23"/>
      <c r="K12" s="17" t="s">
        <v>7</v>
      </c>
      <c r="L12" s="17" t="s">
        <v>8</v>
      </c>
      <c r="M12" s="17"/>
      <c r="N12" s="17" t="s">
        <v>39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8"/>
      <c r="B13" s="18"/>
      <c r="C13" s="18"/>
      <c r="D13" s="18"/>
      <c r="E13" s="18"/>
      <c r="F13" s="18"/>
      <c r="G13" s="18"/>
      <c r="H13" s="32"/>
      <c r="J13" s="33"/>
      <c r="K13" s="18"/>
      <c r="L13" s="18"/>
      <c r="M13" s="18"/>
      <c r="N13" s="1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0"/>
      <c r="B14" s="20"/>
      <c r="C14" s="20"/>
      <c r="D14" s="20"/>
      <c r="E14" s="20"/>
      <c r="F14" s="20"/>
      <c r="G14" s="20"/>
      <c r="H14" s="24"/>
      <c r="I14" s="25"/>
      <c r="J14" s="26"/>
      <c r="K14" s="20"/>
      <c r="L14" s="20"/>
      <c r="M14" s="20"/>
      <c r="N14" s="2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96.75" customHeight="1">
      <c r="A15" s="35">
        <v>1.0</v>
      </c>
      <c r="B15" s="36" t="s">
        <v>40</v>
      </c>
      <c r="C15" s="37">
        <v>3.0</v>
      </c>
      <c r="D15" s="37">
        <v>2.0</v>
      </c>
      <c r="E15" s="37">
        <v>3.0</v>
      </c>
      <c r="F15" s="37">
        <v>4.0</v>
      </c>
      <c r="G15" s="37">
        <v>4.0</v>
      </c>
      <c r="H15" s="38">
        <v>4.0</v>
      </c>
      <c r="I15" s="28"/>
      <c r="J15" s="15"/>
      <c r="K15" s="39" t="s">
        <v>12</v>
      </c>
      <c r="L15" s="39" t="s">
        <v>19</v>
      </c>
      <c r="M15" s="40">
        <f>(((C15+D15+E15+F15+G15)/5)+(H15-2))</f>
        <v>5.2</v>
      </c>
      <c r="N15" s="41" t="str">
        <f>TEXTJOIN("", TRUE,
  IF(C15=0, "", IF(C15=1, "Aluno apresenta nível abaixo do básico quanto à aprendizagem, ", 
           IF(C15=2, "Aluno apresenta nível básico quanto à aprendizagem, ", 
           IF(C15=3, "Aluno apresenta nível adequado quanto à aprendizagem, ", 
           "Aluno apresenta nível avançado quanto à aprendizagem, ")))),
  IF(D15=0, "", IF(D15=1, "apresenta um baixo comprometimento com as atividades, ", 
           IF(D15=2, "demonstrando comprometimento básico com a aprendizagem, ", 
           IF(D15=3, "demonstrando comprometimento adequado com a aprendizagem, ", 
           "demonstrando alto comprometimento com a aprendizagem, ")))),
  IF(E15=0, "", IF(E15=1, "mostra-se com proatividade ou curiosidade abaixo da média, ", 
           IF(E15=2, "demonstrando pouca proatividade ou curiosidade, ", 
           IF(E15=3, "demonstrando proatividade e curiosidade adequadas, ", 
           "mostra-se muito proativo e curioso, ")))),
  IF(F15=0, "", IF(F15=1, "demonstrando pouca participação nas atividades e discussões, ", 
           IF(F15=2, "participando de forma básica nas atividades e discussões, ", 
           IF(F15=3, "participando de forma adequada nas atividades e discussões, ", 
           "demonstrando alta participação nas atividades e discussões, ")))),
  IF(G15=0, "", IF(G15=1, "tem um comportamento desrespeitoso ou inadequado, ", 
           IF(G15=2, "demonstrando comportamento educado de forma básica, ", 
           IF(G15=3, "demonstrando comportamento educado de forma adequada, ", 
           "com comportamento exemplar e altamente educado, ")))),
  IF(H15=0, "", IF(H15=2, "apresenta algumas faltas e seu comprometimento com a presença é básico. ", 
           IF(H15=3, "apresenta poucas faltas e demonstra comprometimento adequado com a presença. ", 
           IF(H15=4, "apresenta excelente presença e comprometimento com as aulas. ", 
           IF(H15=1,"apresenta alto índice de faltas e não se compromete com a presença. "))))),
  IF(K15="sim", "Aluno com laudo. ", ""),
  IF(L15&lt;&gt;"N/A", "Com foco em "&amp;SUBSTITUTE(L15, ",", " e")&amp;". ", "")
)
</f>
        <v>Aluno apresenta nível adequado quanto à aprendizagem, demonstrando comprometimento básico com a aprendizagem, demonstrando proatividade e curiosidade adequadas, demonstrando alta participação nas atividades e discussões, com comportamento exemplar e altamente educado, apresenta excelente presença e comprometimento com as aulas. Aluno com laudo. Com foco em LINGUAGENS. 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N16" s="9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9.75" customHeight="1">
      <c r="A17" s="6"/>
      <c r="B17" s="6"/>
      <c r="C17" s="42" t="s">
        <v>41</v>
      </c>
      <c r="D17" s="6"/>
      <c r="E17" s="6"/>
      <c r="F17" s="6"/>
      <c r="G17" s="6"/>
      <c r="H17" s="6"/>
      <c r="I17" s="6"/>
      <c r="J17" s="6"/>
      <c r="K17" s="6"/>
      <c r="L17" s="6"/>
      <c r="N17" s="9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.5" customHeight="1">
      <c r="A18" s="6"/>
      <c r="B18" s="6"/>
      <c r="C18" s="18"/>
      <c r="D18" s="6"/>
      <c r="E18" s="6"/>
      <c r="F18" s="6"/>
      <c r="G18" s="6"/>
      <c r="H18" s="6"/>
      <c r="I18" s="6"/>
      <c r="J18" s="6"/>
      <c r="K18" s="6"/>
      <c r="L18" s="6"/>
      <c r="N18" s="9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.5" customHeight="1">
      <c r="A19" s="6"/>
      <c r="B19" s="6"/>
      <c r="C19" s="18"/>
      <c r="D19" s="6"/>
      <c r="E19" s="6"/>
      <c r="F19" s="6"/>
      <c r="G19" s="6"/>
      <c r="H19" s="6"/>
      <c r="I19" s="6"/>
      <c r="J19" s="6"/>
      <c r="K19" s="6"/>
      <c r="L19" s="6"/>
      <c r="N19" s="9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6"/>
      <c r="C20" s="18"/>
      <c r="D20" s="6"/>
      <c r="E20" s="6"/>
      <c r="G20" s="31" t="s">
        <v>42</v>
      </c>
      <c r="H20" s="22"/>
      <c r="I20" s="22"/>
      <c r="J20" s="22"/>
      <c r="K20" s="23"/>
      <c r="N20" s="9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24.0" customHeight="1">
      <c r="A21" s="6"/>
      <c r="B21" s="6"/>
      <c r="C21" s="20"/>
      <c r="D21" s="6"/>
      <c r="E21" s="6"/>
      <c r="G21" s="24"/>
      <c r="H21" s="25"/>
      <c r="I21" s="25"/>
      <c r="J21" s="25"/>
      <c r="K21" s="26"/>
      <c r="M21" s="6"/>
      <c r="N21" s="9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B23" s="6"/>
      <c r="G23" s="43" t="s">
        <v>43</v>
      </c>
      <c r="H23" s="15"/>
      <c r="I23" s="44"/>
      <c r="J23" s="6"/>
      <c r="K23" s="6"/>
      <c r="L23" s="6"/>
      <c r="M23" s="6"/>
      <c r="N23" s="9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6"/>
      <c r="G24" s="6"/>
      <c r="H24" s="6"/>
      <c r="I24" s="6"/>
      <c r="J24" s="6"/>
      <c r="K24" s="6"/>
      <c r="L24" s="6"/>
      <c r="M24" s="6"/>
      <c r="N24" s="9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6"/>
      <c r="C25" s="6"/>
      <c r="D25" s="6"/>
      <c r="E25" s="6"/>
      <c r="G25" s="43" t="s">
        <v>31</v>
      </c>
      <c r="H25" s="15"/>
      <c r="I25" s="45"/>
      <c r="J25" s="6"/>
      <c r="K25" s="6"/>
      <c r="L25" s="6"/>
      <c r="M25" s="6"/>
      <c r="N25" s="9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6"/>
      <c r="C26" s="6"/>
      <c r="D26" s="6"/>
      <c r="E26" s="6"/>
      <c r="G26" s="6"/>
      <c r="H26" s="6"/>
      <c r="I26" s="6"/>
      <c r="J26" s="6"/>
      <c r="K26" s="6"/>
      <c r="L26" s="6"/>
      <c r="M26" s="6"/>
      <c r="N26" s="9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6"/>
      <c r="C27" s="6"/>
      <c r="D27" s="6"/>
      <c r="E27" s="6"/>
      <c r="G27" s="43" t="s">
        <v>44</v>
      </c>
      <c r="H27" s="15"/>
      <c r="I27" s="46"/>
      <c r="J27" s="6"/>
      <c r="K27" s="6"/>
      <c r="L27" s="6"/>
      <c r="M27" s="6"/>
      <c r="N27" s="9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6"/>
      <c r="C28" s="6"/>
      <c r="D28" s="6"/>
      <c r="E28" s="6"/>
      <c r="G28" s="6"/>
      <c r="H28" s="6"/>
      <c r="I28" s="6"/>
      <c r="J28" s="6"/>
      <c r="K28" s="6"/>
      <c r="L28" s="6"/>
      <c r="M28" s="6"/>
      <c r="N28" s="9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6"/>
      <c r="C29" s="6"/>
      <c r="D29" s="6"/>
      <c r="E29" s="6"/>
      <c r="G29" s="43" t="s">
        <v>22</v>
      </c>
      <c r="H29" s="15"/>
      <c r="I29" s="47"/>
      <c r="J29" s="6"/>
      <c r="K29" s="6"/>
      <c r="L29" s="6"/>
      <c r="M29" s="6"/>
      <c r="N29" s="9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6"/>
      <c r="C30" s="6"/>
      <c r="D30" s="6"/>
      <c r="E30" s="6"/>
      <c r="F30" s="6"/>
      <c r="J30" s="6"/>
      <c r="K30" s="6"/>
      <c r="L30" s="6"/>
      <c r="M30" s="6"/>
      <c r="N30" s="9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6"/>
      <c r="C31" s="6"/>
      <c r="D31" s="6"/>
      <c r="E31" s="6"/>
      <c r="F31" s="6"/>
      <c r="J31" s="6"/>
      <c r="K31" s="6"/>
      <c r="L31" s="6"/>
      <c r="M31" s="6"/>
      <c r="N31" s="9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6"/>
      <c r="C32" s="6"/>
      <c r="D32" s="6"/>
      <c r="E32" s="6"/>
      <c r="F32" s="6"/>
      <c r="J32" s="6"/>
      <c r="K32" s="6"/>
      <c r="L32" s="6"/>
      <c r="M32" s="6"/>
      <c r="N32" s="9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J33" s="6"/>
      <c r="K33" s="6"/>
      <c r="L33" s="6"/>
      <c r="M33" s="6"/>
      <c r="N33" s="9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J34" s="6"/>
      <c r="K34" s="6"/>
      <c r="L34" s="6"/>
      <c r="M34" s="6"/>
      <c r="N34" s="9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J35" s="6"/>
      <c r="K35" s="6"/>
      <c r="L35" s="6"/>
      <c r="M35" s="6"/>
      <c r="N35" s="9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J36" s="6"/>
      <c r="K36" s="6"/>
      <c r="L36" s="6"/>
      <c r="M36" s="6"/>
      <c r="N36" s="9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9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9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9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9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9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9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9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9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9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9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9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9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9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9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9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9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9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9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9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9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9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9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9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9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9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9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9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9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9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9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9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9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9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9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9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9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9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9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9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9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9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9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9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9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9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9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9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9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9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9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9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9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9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9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9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9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9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9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9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9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9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9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9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9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9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9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9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9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9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9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9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9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9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9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9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9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9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9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9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9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9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9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9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9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9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9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9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9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9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9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9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9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9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9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9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9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9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9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9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9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9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9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9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9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9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9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9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9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9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9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9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9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9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9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9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9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9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9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9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9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9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9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9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9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9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9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9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9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9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9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9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9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9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9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9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9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9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9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9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9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9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9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9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9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9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9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9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9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9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9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9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9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9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9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9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9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9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9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9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9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9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9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9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9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9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9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9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9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9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9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9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9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9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9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9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9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9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9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9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9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9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9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9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9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9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9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9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9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9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9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9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9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9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9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9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9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9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9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9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9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9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9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9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9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9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9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9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9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9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9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9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9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9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9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9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9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9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9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9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9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9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9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9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9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9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9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9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9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9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9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9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9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9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9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9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9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9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9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9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9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9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9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9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9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9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9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9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9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9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9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9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9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9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9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9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9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9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9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9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9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9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9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9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9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9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9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9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9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9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9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9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9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9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9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9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9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9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9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9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9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9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9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9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9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9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9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9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9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9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9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9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9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9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9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9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9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9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9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9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9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9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9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9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9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9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9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9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9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9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9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9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9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9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9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9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9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9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9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9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9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9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9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9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9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9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9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9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9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9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9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9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9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9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9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9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9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9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9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9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9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9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9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9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9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9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9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9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9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9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9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9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9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9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9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9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9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9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9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9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9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9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9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9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9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9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9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9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9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9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9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9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9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29">
    <mergeCell ref="B1:C2"/>
    <mergeCell ref="E1:G2"/>
    <mergeCell ref="F3:G3"/>
    <mergeCell ref="F4:G4"/>
    <mergeCell ref="N4:N8"/>
    <mergeCell ref="F5:G5"/>
    <mergeCell ref="F6:G6"/>
    <mergeCell ref="C12:C14"/>
    <mergeCell ref="C17:C21"/>
    <mergeCell ref="F7:G7"/>
    <mergeCell ref="C9:F10"/>
    <mergeCell ref="B11:H11"/>
    <mergeCell ref="A12:A14"/>
    <mergeCell ref="B12:B14"/>
    <mergeCell ref="D12:D14"/>
    <mergeCell ref="G12:G14"/>
    <mergeCell ref="H15:J15"/>
    <mergeCell ref="G20:K21"/>
    <mergeCell ref="G23:H23"/>
    <mergeCell ref="G25:H25"/>
    <mergeCell ref="G27:H27"/>
    <mergeCell ref="G29:H29"/>
    <mergeCell ref="E12:E14"/>
    <mergeCell ref="F12:F14"/>
    <mergeCell ref="H12:J14"/>
    <mergeCell ref="K12:K14"/>
    <mergeCell ref="L12:L14"/>
    <mergeCell ref="M12:M14"/>
    <mergeCell ref="N12:N14"/>
  </mergeCells>
  <conditionalFormatting sqref="C15:J15">
    <cfRule type="cellIs" dxfId="0" priority="1" operator="equal">
      <formula>0</formula>
    </cfRule>
  </conditionalFormatting>
  <conditionalFormatting sqref="A15:B15">
    <cfRule type="notContainsBlanks" dxfId="4" priority="2">
      <formula>LEN(TRIM(A15))&gt;0</formula>
    </cfRule>
  </conditionalFormatting>
  <conditionalFormatting sqref="M15">
    <cfRule type="cellIs" dxfId="0" priority="3" operator="lessThan">
      <formula>1.6</formula>
    </cfRule>
  </conditionalFormatting>
  <conditionalFormatting sqref="M15">
    <cfRule type="cellIs" dxfId="1" priority="4" operator="between">
      <formula>1.6</formula>
      <formula>3</formula>
    </cfRule>
  </conditionalFormatting>
  <conditionalFormatting sqref="M15">
    <cfRule type="cellIs" dxfId="2" priority="5" operator="between">
      <formula>3.1</formula>
      <formula>4.5</formula>
    </cfRule>
  </conditionalFormatting>
  <conditionalFormatting sqref="M15">
    <cfRule type="cellIs" dxfId="3" priority="6" operator="between">
      <formula>4.6</formula>
      <formula>6</formula>
    </cfRule>
  </conditionalFormatting>
  <dataValidations>
    <dataValidation type="list" allowBlank="1" showErrorMessage="1" sqref="K15">
      <formula1>"SIM,NÃO"</formula1>
    </dataValidation>
    <dataValidation type="list" allowBlank="1" showErrorMessage="1" sqref="C15:H15">
      <formula1>"0,1,2,3,4"</formula1>
    </dataValidation>
    <dataValidation type="list" allowBlank="1" showErrorMessage="1" sqref="L15">
      <formula1>"MATEMATICA,LINGUAGENS,CIEN. NAT,CIEN. HUMAN"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63"/>
    <col customWidth="1" min="2" max="2" width="34.75"/>
    <col customWidth="1" min="3" max="3" width="19.0"/>
    <col customWidth="1" min="4" max="4" width="20.88"/>
    <col customWidth="1" min="5" max="5" width="17.75"/>
    <col customWidth="1" min="6" max="6" width="15.13"/>
    <col customWidth="1" min="7" max="7" width="14.25"/>
    <col customWidth="1" min="10" max="10" width="24.13"/>
  </cols>
  <sheetData>
    <row r="1">
      <c r="A1" s="1">
        <v>0.0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0.25" customHeight="1"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1.0</v>
      </c>
      <c r="B4" s="5" t="s">
        <v>10</v>
      </c>
      <c r="C4" s="7">
        <v>0.0</v>
      </c>
      <c r="D4" s="7">
        <v>2.0</v>
      </c>
      <c r="E4" s="7">
        <v>3.0</v>
      </c>
      <c r="F4" s="7">
        <v>4.0</v>
      </c>
      <c r="G4" s="7">
        <v>1.0</v>
      </c>
      <c r="H4" s="7">
        <v>0.0</v>
      </c>
      <c r="I4" s="7" t="s">
        <v>12</v>
      </c>
      <c r="J4" s="7" t="s">
        <v>14</v>
      </c>
      <c r="K4" s="11">
        <f t="shared" ref="K4:K8" si="1">(((C4+D4+E4+F4+G4)/5)+(H4-2))</f>
        <v>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2.0</v>
      </c>
      <c r="B5" s="5" t="s">
        <v>15</v>
      </c>
      <c r="C5" s="7">
        <v>1.0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 t="s">
        <v>17</v>
      </c>
      <c r="J5" s="7" t="s">
        <v>19</v>
      </c>
      <c r="K5" s="11">
        <f t="shared" si="1"/>
        <v>-1.8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3.0</v>
      </c>
      <c r="B6" s="5" t="s">
        <v>20</v>
      </c>
      <c r="C6" s="7">
        <v>2.0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 t="s">
        <v>12</v>
      </c>
      <c r="J6" s="7" t="s">
        <v>21</v>
      </c>
      <c r="K6" s="11">
        <f t="shared" si="1"/>
        <v>-1.6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4.0</v>
      </c>
      <c r="B7" s="5" t="s">
        <v>24</v>
      </c>
      <c r="C7" s="7">
        <v>3.0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 t="s">
        <v>17</v>
      </c>
      <c r="J7" s="7" t="s">
        <v>26</v>
      </c>
      <c r="K7" s="11">
        <f t="shared" si="1"/>
        <v>-1.4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5.0</v>
      </c>
      <c r="B8" s="5" t="s">
        <v>27</v>
      </c>
      <c r="C8" s="7">
        <v>4.0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 t="s">
        <v>12</v>
      </c>
      <c r="J8" s="7" t="s">
        <v>30</v>
      </c>
      <c r="K8" s="11">
        <f t="shared" si="1"/>
        <v>-1.2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K9" s="1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K10" s="1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K11" s="1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K12" s="1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K13" s="1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K14" s="1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K15" s="1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K16" s="1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K17" s="1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K18" s="1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K19" s="1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K20" s="1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K21" s="1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K22" s="1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K23" s="1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</sheetData>
  <mergeCells count="11">
    <mergeCell ref="H1:H3"/>
    <mergeCell ref="I1:I3"/>
    <mergeCell ref="J1:J3"/>
    <mergeCell ref="K1:K3"/>
    <mergeCell ref="A1:A3"/>
    <mergeCell ref="B1:B3"/>
    <mergeCell ref="C1:C3"/>
    <mergeCell ref="D1:D3"/>
    <mergeCell ref="E1:E3"/>
    <mergeCell ref="F1:F3"/>
    <mergeCell ref="G1:G3"/>
  </mergeCells>
  <conditionalFormatting sqref="K4:K8">
    <cfRule type="cellIs" dxfId="0" priority="1" operator="lessThan">
      <formula>1.6</formula>
    </cfRule>
  </conditionalFormatting>
  <conditionalFormatting sqref="K4:K8">
    <cfRule type="cellIs" dxfId="1" priority="2" operator="between">
      <formula>1.6</formula>
      <formula>3</formula>
    </cfRule>
  </conditionalFormatting>
  <conditionalFormatting sqref="K4:K8">
    <cfRule type="cellIs" dxfId="2" priority="3" operator="between">
      <formula>3.1</formula>
      <formula>4.5</formula>
    </cfRule>
  </conditionalFormatting>
  <conditionalFormatting sqref="K4:K8">
    <cfRule type="cellIs" dxfId="3" priority="4" operator="between">
      <formula>4.6</formula>
      <formula>6</formula>
    </cfRule>
  </conditionalFormatting>
  <conditionalFormatting sqref="C4:H8">
    <cfRule type="cellIs" dxfId="0" priority="5" operator="equal">
      <formula>0</formula>
    </cfRule>
  </conditionalFormatting>
  <conditionalFormatting sqref="A4:B8 A31:B60">
    <cfRule type="notContainsBlanks" dxfId="4" priority="6">
      <formula>LEN(TRIM(A4))&gt;0</formula>
    </cfRule>
  </conditionalFormatting>
  <conditionalFormatting sqref="K4:K8">
    <cfRule type="cellIs" dxfId="5" priority="7" operator="lessThan">
      <formula>1.25</formula>
    </cfRule>
  </conditionalFormatting>
  <conditionalFormatting sqref="K4:K8">
    <cfRule type="cellIs" dxfId="5" priority="8" operator="lessThan">
      <formula>1.25</formula>
    </cfRule>
  </conditionalFormatting>
  <conditionalFormatting sqref="K4:K8">
    <cfRule type="cellIs" dxfId="5" priority="9" operator="lessThan">
      <formula>1.25</formula>
    </cfRule>
  </conditionalFormatting>
  <dataValidations>
    <dataValidation type="list" allowBlank="1" showErrorMessage="1" sqref="C4:H8">
      <formula1>"0,1,2,3,4"</formula1>
    </dataValidation>
    <dataValidation type="list" allowBlank="1" showErrorMessage="1" sqref="I4:I8">
      <formula1>"SIM,NÃO"</formula1>
    </dataValidation>
    <dataValidation type="list" allowBlank="1" showErrorMessage="1" sqref="J4:J8">
      <formula1>"N/A,MATEMATICA,LINGUAGENS,CIEN. NAT,CIEN. HUMAN"</formula1>
    </dataValidation>
  </dataValidations>
  <drawing r:id="rId1"/>
</worksheet>
</file>